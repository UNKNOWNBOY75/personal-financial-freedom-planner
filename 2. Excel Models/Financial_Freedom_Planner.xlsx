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ncial Freedom Planner\2. Excel Models\"/>
    </mc:Choice>
  </mc:AlternateContent>
  <bookViews>
    <workbookView xWindow="0" yWindow="0" windowWidth="20490" windowHeight="7755" firstSheet="1" activeTab="6"/>
  </bookViews>
  <sheets>
    <sheet name="README" sheetId="1" r:id="rId1"/>
    <sheet name="Inputs" sheetId="2" r:id="rId2"/>
    <sheet name="Transactions" sheetId="3" r:id="rId3"/>
    <sheet name="Monthly Analysis" sheetId="4" r:id="rId4"/>
    <sheet name="Net Worth" sheetId="5" r:id="rId5"/>
    <sheet name="Investment Projection" sheetId="6" r:id="rId6"/>
    <sheet name="Dashboard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7" l="1"/>
  <c r="B5" i="6" l="1"/>
  <c r="B22" i="7" l="1"/>
  <c r="B23" i="7" s="1"/>
  <c r="B21" i="7"/>
  <c r="B12" i="7"/>
  <c r="B11" i="7"/>
  <c r="B8" i="7"/>
  <c r="B7" i="7"/>
  <c r="B6" i="7"/>
  <c r="B4" i="7"/>
  <c r="C46" i="6"/>
  <c r="B17" i="7" s="1"/>
  <c r="C45" i="6"/>
  <c r="B16" i="7" s="1"/>
  <c r="C44" i="6"/>
  <c r="B15" i="7" s="1"/>
  <c r="A15" i="6"/>
  <c r="B15" i="6"/>
  <c r="C15" i="6"/>
  <c r="A16" i="6"/>
  <c r="B16" i="6"/>
  <c r="C16" i="6"/>
  <c r="A17" i="6"/>
  <c r="B17" i="6"/>
  <c r="C17" i="6"/>
  <c r="A18" i="6"/>
  <c r="B18" i="6"/>
  <c r="C18" i="6"/>
  <c r="A19" i="6"/>
  <c r="B19" i="6"/>
  <c r="C19" i="6"/>
  <c r="A20" i="6"/>
  <c r="B20" i="6"/>
  <c r="C20" i="6"/>
  <c r="A21" i="6"/>
  <c r="B21" i="6"/>
  <c r="C21" i="6"/>
  <c r="A22" i="6"/>
  <c r="B22" i="6"/>
  <c r="C22" i="6"/>
  <c r="A23" i="6"/>
  <c r="B23" i="6"/>
  <c r="C23" i="6"/>
  <c r="A24" i="6"/>
  <c r="B24" i="6"/>
  <c r="C24" i="6"/>
  <c r="A25" i="6"/>
  <c r="B25" i="6"/>
  <c r="C25" i="6"/>
  <c r="A26" i="6"/>
  <c r="B26" i="6"/>
  <c r="C26" i="6"/>
  <c r="A27" i="6"/>
  <c r="B27" i="6"/>
  <c r="C27" i="6"/>
  <c r="A28" i="6"/>
  <c r="B28" i="6"/>
  <c r="C28" i="6"/>
  <c r="A29" i="6"/>
  <c r="B29" i="6"/>
  <c r="C29" i="6"/>
  <c r="A30" i="6"/>
  <c r="B30" i="6"/>
  <c r="C30" i="6"/>
  <c r="A31" i="6"/>
  <c r="B31" i="6"/>
  <c r="C31" i="6"/>
  <c r="A32" i="6"/>
  <c r="B32" i="6"/>
  <c r="C32" i="6"/>
  <c r="A33" i="6"/>
  <c r="B33" i="6"/>
  <c r="C33" i="6"/>
  <c r="A34" i="6"/>
  <c r="B34" i="6"/>
  <c r="C34" i="6"/>
  <c r="A35" i="6"/>
  <c r="B35" i="6"/>
  <c r="C35" i="6"/>
  <c r="A36" i="6"/>
  <c r="B36" i="6"/>
  <c r="C36" i="6"/>
  <c r="A37" i="6"/>
  <c r="B37" i="6"/>
  <c r="C37" i="6"/>
  <c r="A38" i="6"/>
  <c r="B38" i="6"/>
  <c r="C38" i="6"/>
  <c r="C14" i="6"/>
  <c r="B14" i="6"/>
  <c r="A14" i="6"/>
  <c r="B9" i="6"/>
  <c r="B8" i="6"/>
  <c r="B7" i="6"/>
  <c r="B6" i="6"/>
  <c r="B4" i="6"/>
  <c r="B12" i="5"/>
  <c r="B10" i="5"/>
  <c r="B9" i="5"/>
  <c r="B6" i="5"/>
  <c r="B5" i="5"/>
  <c r="B4" i="5"/>
  <c r="B13" i="4"/>
  <c r="B12" i="4"/>
  <c r="D14" i="6" l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B13" i="7"/>
  <c r="B24" i="7" s="1"/>
  <c r="B25" i="7" s="1"/>
  <c r="B26" i="7" s="1"/>
  <c r="B8" i="4"/>
  <c r="B7" i="4"/>
  <c r="B6" i="4"/>
  <c r="B5" i="4"/>
  <c r="B4" i="4"/>
</calcChain>
</file>

<file path=xl/sharedStrings.xml><?xml version="1.0" encoding="utf-8"?>
<sst xmlns="http://schemas.openxmlformats.org/spreadsheetml/2006/main" count="134" uniqueCount="119">
  <si>
    <t>PERSONAL FINANCIAL FREEDOM PLANNER</t>
  </si>
  <si>
    <t>PROJECT OBJECTIVE</t>
  </si>
  <si>
    <t>BUILD AN EXCEL-BASED TOOL THAT ANALYZES INCOME, EXPENSES, SAVINGS, INVESTMENTS, AND NET WORTH, AND USES SCENARIO ANALYSIS TO ESTIMATE THE PATH TOWARD FINANCIAL FREEDOM.</t>
  </si>
  <si>
    <t>PROBLEM STATEMENT</t>
  </si>
  <si>
    <t xml:space="preserve">PEOPLE OFTEN HAVE FINANCIAL DATA BUT LACK A SIMPLE WAY TO UNDERSTAND THEIR SPENDING, PATTERNS, SAVING BEHAVIOUR, WEALTH GROWTH, AND LONG TERM FINANCIAL TRAJECTORY </t>
  </si>
  <si>
    <t>CORE FEATURES</t>
  </si>
  <si>
    <t>1. INCOME AND EXPENSE TRACKING</t>
  </si>
  <si>
    <t>2. MONTHLY FINANCIAL ANALYSIS</t>
  </si>
  <si>
    <t>3. NET WORTH TRACKING</t>
  </si>
  <si>
    <t>4. INVESTMENT GROWTH PROJECTIONS</t>
  </si>
  <si>
    <t>5. SCENARIO ANALYSIS</t>
  </si>
  <si>
    <t>6. FINANCIAL DASHBOARD</t>
  </si>
  <si>
    <t>7. AI-ASSISTED FINANCIAL INSIGHTS</t>
  </si>
  <si>
    <t>TOOLS</t>
  </si>
  <si>
    <t>MICROSOFT EXCEL</t>
  </si>
  <si>
    <t>AI TOOLS FOR INSIGHT GENERATION AND ANALYSIS</t>
  </si>
  <si>
    <t>PROJECT STATUS</t>
  </si>
  <si>
    <t>VERSION 0.1 — BUILDING THE FOUNDATION</t>
  </si>
  <si>
    <t>FINANCIAL FREEDOM PLANNER — USER INPUTS</t>
  </si>
  <si>
    <t>PERSONAL INFORMATION</t>
  </si>
  <si>
    <t>CURRENT AGE</t>
  </si>
  <si>
    <t>TARGET FINANCIAL FREEDOM AGE</t>
  </si>
  <si>
    <t>CURRENT MONTHLY INCOME</t>
  </si>
  <si>
    <t>EXPECTED ANNUAL INCOME GROWTH</t>
  </si>
  <si>
    <t>CURRENT FINANCIAL POSITION</t>
  </si>
  <si>
    <t>CURRENT CASH / BANK BALANCE</t>
  </si>
  <si>
    <t>CURRENT INVESTMENTS</t>
  </si>
  <si>
    <t>CURRENT DEBT / LOANS</t>
  </si>
  <si>
    <t>MONTHLY FINANCIAL ASSUMPTIONS</t>
  </si>
  <si>
    <t>EXPECTED MONTHLY EXPENSES</t>
  </si>
  <si>
    <t>MONTHLY INVESTMENT CONTRIBUTION</t>
  </si>
  <si>
    <t>EXPECTED ANNUAL INVESTMENT RETURN</t>
  </si>
  <si>
    <t>EXPECTED ANNUAL INFLATION RATE</t>
  </si>
  <si>
    <t>FINANCIAL FREEDOM GOAL</t>
  </si>
  <si>
    <t>TARGET ANNUAL EXPENSES AFTER FINANCIAL FREEDOM</t>
  </si>
  <si>
    <t>DATE</t>
  </si>
  <si>
    <t>DESCRIPTION</t>
  </si>
  <si>
    <t>CATEGORY</t>
  </si>
  <si>
    <t>TYPE</t>
  </si>
  <si>
    <t>AMOUNT</t>
  </si>
  <si>
    <t>MONTHLY SALARY</t>
  </si>
  <si>
    <t>HOUSE RENT</t>
  </si>
  <si>
    <t>GROCERIES</t>
  </si>
  <si>
    <t>METRO &amp; BUS</t>
  </si>
  <si>
    <t>SIP INVESTMENT</t>
  </si>
  <si>
    <t>ELECTRICITY BILL</t>
  </si>
  <si>
    <t>RESTAURANT</t>
  </si>
  <si>
    <t>CLOTHING</t>
  </si>
  <si>
    <t>ONLINE SUBSCRIPTION</t>
  </si>
  <si>
    <t>SALARY</t>
  </si>
  <si>
    <t>HOUSING</t>
  </si>
  <si>
    <t>FOOD</t>
  </si>
  <si>
    <t>TRANSPORT</t>
  </si>
  <si>
    <t>INVESTMENT</t>
  </si>
  <si>
    <t>UTILITIES</t>
  </si>
  <si>
    <t>ENTERTAINMENT</t>
  </si>
  <si>
    <t>SHOPPING</t>
  </si>
  <si>
    <t>INCOME</t>
  </si>
  <si>
    <t>EXPENSE</t>
  </si>
  <si>
    <t>JANUARY 2026 FINANCIAL ANALYSIS</t>
  </si>
  <si>
    <t>METRIC</t>
  </si>
  <si>
    <t>TOTAL INCOME</t>
  </si>
  <si>
    <t>TOTAL EXPENSES</t>
  </si>
  <si>
    <t>TOTAL INVESTMENTS</t>
  </si>
  <si>
    <t>SAVINGS RATE</t>
  </si>
  <si>
    <t>TOTAL SAVINGS</t>
  </si>
  <si>
    <t>KEY OBSERVATIONS</t>
  </si>
  <si>
    <t>INCOME AFTER EXPENSES</t>
  </si>
  <si>
    <t>INVESTMENT AS % OF INCOME</t>
  </si>
  <si>
    <t>EXPENSES AS % OF INCOME</t>
  </si>
  <si>
    <t>JANUARY 2026 NET WORTH</t>
  </si>
  <si>
    <t>ASSETS</t>
  </si>
  <si>
    <t>CASH / BANK BALANCE</t>
  </si>
  <si>
    <t>INVESTMENTS</t>
  </si>
  <si>
    <t>TOTAL ASSETS</t>
  </si>
  <si>
    <t>LIABILITIES</t>
  </si>
  <si>
    <t>DEBT / LOANS</t>
  </si>
  <si>
    <t>TOTAL LIABILITIES</t>
  </si>
  <si>
    <t>NET WORTH</t>
  </si>
  <si>
    <t xml:space="preserve"> </t>
  </si>
  <si>
    <t>INVESTMENT GROWTH PROJECTION</t>
  </si>
  <si>
    <t>INPUT</t>
  </si>
  <si>
    <t>VALUE</t>
  </si>
  <si>
    <t>EXPECTED ANNUAL RETURN</t>
  </si>
  <si>
    <t>INVESTMENT PERIOD ( YEARS )</t>
  </si>
  <si>
    <t>YEAR</t>
  </si>
  <si>
    <t>AGE</t>
  </si>
  <si>
    <t>ANNUAL INVESTMENT</t>
  </si>
  <si>
    <t>PROJECTED PORTFOLIO VALUE</t>
  </si>
  <si>
    <t>SCENARIO ANALYSIS</t>
  </si>
  <si>
    <t>ANNUAL RETURN</t>
  </si>
  <si>
    <t>PROJECTED VALUE AT AGE 45</t>
  </si>
  <si>
    <t>CONSERVATIVE</t>
  </si>
  <si>
    <t>BASE</t>
  </si>
  <si>
    <t>OPTIMISTIC</t>
  </si>
  <si>
    <t>PERSONAL FINANCIAL FREEDOM DASHBOARD</t>
  </si>
  <si>
    <t>CURRENT FINANCIAL SNAPSHOT</t>
  </si>
  <si>
    <t>MONTHLY INCOME</t>
  </si>
  <si>
    <t>MONTHLY SAVINGS</t>
  </si>
  <si>
    <t>CURRENT NET WORTH</t>
  </si>
  <si>
    <t>FINANCIAL FREEDOM PROJECTION</t>
  </si>
  <si>
    <t>TARGET AGE</t>
  </si>
  <si>
    <t>INVESTMENT PERIOD</t>
  </si>
  <si>
    <t>PROJECTED VALUE AT TARGET AGE</t>
  </si>
  <si>
    <t xml:space="preserve">SCENARIO ANALYSIS </t>
  </si>
  <si>
    <t>CONSERVATIVE (8%)</t>
  </si>
  <si>
    <t>BASE ( 10% )</t>
  </si>
  <si>
    <t>OPTIMISTIC ( 12% )</t>
  </si>
  <si>
    <t>MONTHLY EXPENSES</t>
  </si>
  <si>
    <t>FINANCIAL FREEDOM TARGET</t>
  </si>
  <si>
    <t>TARGET ANNUAL EXPENSE</t>
  </si>
  <si>
    <t>TARGET PORTFOLIO REQUIRED</t>
  </si>
  <si>
    <t>PROJECTED PORTFOLIO</t>
  </si>
  <si>
    <t>FUNDING GAP/SURPLUS</t>
  </si>
  <si>
    <t>ASSUMED WITHDRAWAL RATE (4% RULE)</t>
  </si>
  <si>
    <t>4% RULE NOTE</t>
  </si>
  <si>
    <t>THE 4% RULE IS A SIMPLIFIED RETIREMENT PLANNING ASSUMPTION THAT ESTIMATES THE PORTFOLIO REQUIRED BY DIVIDING ANNUAL EXPENSES BY A 4% INITIAL WITHDRAWAL RATE. IT IS NOT A GUARANTEE OF SUSTAINABLE INCOME OR FUTURE INVESTMENT PERFORMANCE.</t>
  </si>
  <si>
    <t>ASSUMED WITHDRAWAL RATE (4%)</t>
  </si>
  <si>
    <t>FINANCIAL FREEDOM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</si>
</sst>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£&quot;* #,##0.00_-;\-&quot;£&quot;* #,##0.00_-;_-&quot;£&quot;* &quot;-&quot;??_-;_-@_-"/>
    <numFmt numFmtId="164" formatCode="[$₹-4009]\ #,##0.00;[$₹-4009]\ \-#,##0.00"/>
    <numFmt numFmtId="165" formatCode="[$₹-4009]\ #,##0.00;[Red][$₹-4009]\ \-#,##0.00"/>
    <numFmt numFmtId="166" formatCode="[$₹-4009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  <xf numFmtId="9" fontId="0" fillId="0" borderId="0" xfId="0" applyNumberFormat="1"/>
    <xf numFmtId="0" fontId="0" fillId="0" borderId="2" xfId="0" applyBorder="1"/>
    <xf numFmtId="0" fontId="0" fillId="0" borderId="5" xfId="0" applyBorder="1"/>
    <xf numFmtId="0" fontId="0" fillId="0" borderId="1" xfId="0" applyBorder="1"/>
    <xf numFmtId="15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15" fontId="0" fillId="0" borderId="3" xfId="0" applyNumberFormat="1" applyBorder="1"/>
    <xf numFmtId="0" fontId="0" fillId="0" borderId="9" xfId="0" applyBorder="1"/>
    <xf numFmtId="9" fontId="0" fillId="0" borderId="0" xfId="1" applyFont="1"/>
    <xf numFmtId="10" fontId="0" fillId="0" borderId="0" xfId="0" applyNumberFormat="1"/>
    <xf numFmtId="164" fontId="0" fillId="0" borderId="0" xfId="2" applyNumberFormat="1" applyFon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3" borderId="0" xfId="0" applyFont="1" applyFill="1"/>
    <xf numFmtId="0" fontId="4" fillId="0" borderId="0" xfId="0" applyFont="1"/>
    <xf numFmtId="166" fontId="4" fillId="0" borderId="0" xfId="0" applyNumberFormat="1" applyFont="1"/>
    <xf numFmtId="0" fontId="4" fillId="4" borderId="0" xfId="0" applyFont="1" applyFill="1"/>
  </cellXfs>
  <cellStyles count="3">
    <cellStyle name="Currency" xfId="2" builtinId="4"/>
    <cellStyle name="Normal" xfId="0" builtinId="0"/>
    <cellStyle name="Percent" xfId="1" builtinId="5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\-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PROJECTED</a:t>
            </a:r>
            <a:r>
              <a:rPr lang="en-GB" baseline="0"/>
              <a:t> PORTFOLIO GROWTH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'Investment Projection'!$D$12</c:f>
              <c:strCache>
                <c:ptCount val="1"/>
                <c:pt idx="0">
                  <c:v>PROJECTED PORTFOLIO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'Investment Projection'!$B$12:$B$38</c:f>
              <c:strCache>
                <c:ptCount val="27"/>
                <c:pt idx="0">
                  <c:v>AGE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</c:strCache>
            </c:strRef>
          </c:cat>
          <c:val>
            <c:numRef>
              <c:f>'Investment Projection'!$D$13:$D$38</c:f>
              <c:numCache>
                <c:formatCode>General</c:formatCode>
                <c:ptCount val="26"/>
                <c:pt idx="0">
                  <c:v>100000</c:v>
                </c:pt>
                <c:pt idx="1">
                  <c:v>290000</c:v>
                </c:pt>
                <c:pt idx="2">
                  <c:v>499000</c:v>
                </c:pt>
                <c:pt idx="3">
                  <c:v>728900</c:v>
                </c:pt>
                <c:pt idx="4">
                  <c:v>981790.00000000012</c:v>
                </c:pt>
                <c:pt idx="5">
                  <c:v>1259969.0000000002</c:v>
                </c:pt>
                <c:pt idx="6">
                  <c:v>1565965.9000000004</c:v>
                </c:pt>
                <c:pt idx="7">
                  <c:v>1902562.4900000005</c:v>
                </c:pt>
                <c:pt idx="8">
                  <c:v>2272818.739000001</c:v>
                </c:pt>
                <c:pt idx="9">
                  <c:v>2680100.6129000015</c:v>
                </c:pt>
                <c:pt idx="10">
                  <c:v>3128110.674190002</c:v>
                </c:pt>
                <c:pt idx="11">
                  <c:v>3620921.7416090025</c:v>
                </c:pt>
                <c:pt idx="12">
                  <c:v>4163013.915769903</c:v>
                </c:pt>
                <c:pt idx="13">
                  <c:v>4759315.3073468935</c:v>
                </c:pt>
                <c:pt idx="14">
                  <c:v>5415246.8380815834</c:v>
                </c:pt>
                <c:pt idx="15">
                  <c:v>6136771.5218897425</c:v>
                </c:pt>
                <c:pt idx="16">
                  <c:v>6930448.6740787169</c:v>
                </c:pt>
                <c:pt idx="17">
                  <c:v>7803493.5414865892</c:v>
                </c:pt>
                <c:pt idx="18">
                  <c:v>8763842.8956352491</c:v>
                </c:pt>
                <c:pt idx="19">
                  <c:v>9820227.1851987746</c:v>
                </c:pt>
                <c:pt idx="20">
                  <c:v>10982249.903718652</c:v>
                </c:pt>
                <c:pt idx="21">
                  <c:v>12260474.894090518</c:v>
                </c:pt>
                <c:pt idx="22">
                  <c:v>13666522.383499572</c:v>
                </c:pt>
                <c:pt idx="23">
                  <c:v>15213174.621849531</c:v>
                </c:pt>
                <c:pt idx="24">
                  <c:v>16914492.084034488</c:v>
                </c:pt>
                <c:pt idx="25">
                  <c:v>18785941.292437937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5966064"/>
        <c:axId val="-165967152"/>
      </c:lineChart>
      <c:catAx>
        <c:axId val="-16596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967152"/>
        <c:crosses val="autoZero"/>
        <c:auto val="1"/>
        <c:lblAlgn val="ctr"/>
        <c:lblOffset val="100"/>
        <c:noMultiLvlLbl val="0"/>
      </c:catAx>
      <c:valAx>
        <c:axId val="-16596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96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PROJECTED</a:t>
            </a:r>
            <a:r>
              <a:rPr lang="en-GB" baseline="0"/>
              <a:t> PORTFOLIO GROWTH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'Investment Projection'!$D$12</c:f>
              <c:strCache>
                <c:ptCount val="1"/>
                <c:pt idx="0">
                  <c:v>PROJECTED PORTFOLIO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'Investment Projection'!$B$12:$B$38</c:f>
              <c:strCache>
                <c:ptCount val="27"/>
                <c:pt idx="0">
                  <c:v>AGE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</c:strCache>
            </c:strRef>
          </c:cat>
          <c:val>
            <c:numRef>
              <c:f>'Investment Projection'!$D$13:$D$38</c:f>
              <c:numCache>
                <c:formatCode>General</c:formatCode>
                <c:ptCount val="26"/>
                <c:pt idx="0">
                  <c:v>100000</c:v>
                </c:pt>
                <c:pt idx="1">
                  <c:v>290000</c:v>
                </c:pt>
                <c:pt idx="2">
                  <c:v>499000</c:v>
                </c:pt>
                <c:pt idx="3">
                  <c:v>728900</c:v>
                </c:pt>
                <c:pt idx="4">
                  <c:v>981790.00000000012</c:v>
                </c:pt>
                <c:pt idx="5">
                  <c:v>1259969.0000000002</c:v>
                </c:pt>
                <c:pt idx="6">
                  <c:v>1565965.9000000004</c:v>
                </c:pt>
                <c:pt idx="7">
                  <c:v>1902562.4900000005</c:v>
                </c:pt>
                <c:pt idx="8">
                  <c:v>2272818.739000001</c:v>
                </c:pt>
                <c:pt idx="9">
                  <c:v>2680100.6129000015</c:v>
                </c:pt>
                <c:pt idx="10">
                  <c:v>3128110.674190002</c:v>
                </c:pt>
                <c:pt idx="11">
                  <c:v>3620921.7416090025</c:v>
                </c:pt>
                <c:pt idx="12">
                  <c:v>4163013.915769903</c:v>
                </c:pt>
                <c:pt idx="13">
                  <c:v>4759315.3073468935</c:v>
                </c:pt>
                <c:pt idx="14">
                  <c:v>5415246.8380815834</c:v>
                </c:pt>
                <c:pt idx="15">
                  <c:v>6136771.5218897425</c:v>
                </c:pt>
                <c:pt idx="16">
                  <c:v>6930448.6740787169</c:v>
                </c:pt>
                <c:pt idx="17">
                  <c:v>7803493.5414865892</c:v>
                </c:pt>
                <c:pt idx="18">
                  <c:v>8763842.8956352491</c:v>
                </c:pt>
                <c:pt idx="19">
                  <c:v>9820227.1851987746</c:v>
                </c:pt>
                <c:pt idx="20">
                  <c:v>10982249.903718652</c:v>
                </c:pt>
                <c:pt idx="21">
                  <c:v>12260474.894090518</c:v>
                </c:pt>
                <c:pt idx="22">
                  <c:v>13666522.383499572</c:v>
                </c:pt>
                <c:pt idx="23">
                  <c:v>15213174.621849531</c:v>
                </c:pt>
                <c:pt idx="24">
                  <c:v>16914492.084034488</c:v>
                </c:pt>
                <c:pt idx="25">
                  <c:v>18785941.292437937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5967696"/>
        <c:axId val="-165971504"/>
      </c:lineChart>
      <c:catAx>
        <c:axId val="-16596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971504"/>
        <c:crosses val="autoZero"/>
        <c:auto val="1"/>
        <c:lblAlgn val="ctr"/>
        <c:lblOffset val="100"/>
        <c:noMultiLvlLbl val="0"/>
      </c:catAx>
      <c:valAx>
        <c:axId val="-165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96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Scenario</a:t>
            </a:r>
            <a:r>
              <a:rPr lang="en-GB" baseline="0"/>
              <a:t>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20279158377666"/>
          <c:y val="0.16708333333333336"/>
          <c:w val="0.7673652106107831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Dashboard!$A$15:$A$17</c:f>
              <c:strCache>
                <c:ptCount val="3"/>
                <c:pt idx="0">
                  <c:v>CONSERVATIVE (8%)</c:v>
                </c:pt>
                <c:pt idx="1">
                  <c:v>BASE ( 10% )</c:v>
                </c:pt>
                <c:pt idx="2">
                  <c:v>OPTIMISTIC ( 12% )</c:v>
                </c:pt>
              </c:strCache>
            </c:strRef>
          </c:cat>
          <c:val>
            <c:numRef>
              <c:f>Dashboard!$B$15:$B$17</c:f>
              <c:numCache>
                <c:formatCode>[$₹-4009]\ #,##0.00</c:formatCode>
                <c:ptCount val="3"/>
                <c:pt idx="0">
                  <c:v>13843916.711115414</c:v>
                </c:pt>
                <c:pt idx="1">
                  <c:v>18785941.292437941</c:v>
                </c:pt>
                <c:pt idx="2">
                  <c:v>25700103.050628342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5960080"/>
        <c:axId val="-165966608"/>
      </c:barChart>
      <c:catAx>
        <c:axId val="-16596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966608"/>
        <c:crosses val="autoZero"/>
        <c:auto val="1"/>
        <c:lblAlgn val="ctr"/>
        <c:lblOffset val="100"/>
        <c:noMultiLvlLbl val="0"/>
      </c:catAx>
      <c:valAx>
        <c:axId val="-1659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96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19</xdr:row>
      <xdr:rowOff>128587</xdr:rowOff>
    </xdr:from>
    <xdr:to>
      <xdr:col>12</xdr:col>
      <xdr:colOff>457200</xdr:colOff>
      <xdr:row>34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336177</xdr:colOff>
      <xdr:row>16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13608</xdr:colOff>
      <xdr:row>16</xdr:row>
      <xdr:rowOff>158804</xdr:rowOff>
    </xdr:from>
    <xdr:to>
      <xdr:col>10</xdr:col>
      <xdr:colOff>356988</xdr:colOff>
      <xdr:row>31</xdr:row>
      <xdr:rowOff>44504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10" totalsRowShown="0" headerRowDxfId="7" headerRowBorderDxfId="6" tableBorderDxfId="5">
  <autoFilter ref="A1:E10"/>
  <tableColumns count="5">
    <tableColumn id="1" name="DATE" dataDxfId="4"/>
    <tableColumn id="2" name="DESCRIPTION" dataDxfId="3"/>
    <tableColumn id="3" name="CATEGORY" dataDxfId="2"/>
    <tableColumn id="4" name="TYPE" dataDxfId="1"/>
    <tableColumn id="5" name="AMOU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opLeftCell="A7" zoomScale="85" zoomScaleNormal="85" workbookViewId="0">
      <selection activeCell="A23" sqref="A23"/>
    </sheetView>
  </sheetViews>
  <sheetFormatPr defaultRowHeight="15" x14ac:dyDescent="0.25"/>
  <cols>
    <col min="1" max="1" width="59.710937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ht="49.5" customHeight="1" x14ac:dyDescent="0.25">
      <c r="A4" s="1" t="s">
        <v>2</v>
      </c>
    </row>
    <row r="6" spans="1:1" x14ac:dyDescent="0.25">
      <c r="A6" t="s">
        <v>3</v>
      </c>
    </row>
    <row r="7" spans="1:1" ht="60" x14ac:dyDescent="0.25">
      <c r="A7" s="3" t="s">
        <v>4</v>
      </c>
    </row>
    <row r="8" spans="1:1" x14ac:dyDescent="0.25">
      <c r="A8" s="2"/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opLeftCell="A7" zoomScale="85" zoomScaleNormal="85" workbookViewId="0">
      <selection activeCell="B22" sqref="B22"/>
    </sheetView>
  </sheetViews>
  <sheetFormatPr defaultRowHeight="15" x14ac:dyDescent="0.25"/>
  <cols>
    <col min="1" max="1" width="45.42578125" customWidth="1"/>
  </cols>
  <sheetData>
    <row r="1" spans="1:2" ht="28.5" customHeight="1" x14ac:dyDescent="0.25">
      <c r="A1" s="4" t="s">
        <v>18</v>
      </c>
    </row>
    <row r="3" spans="1:2" x14ac:dyDescent="0.25">
      <c r="A3" t="s">
        <v>19</v>
      </c>
    </row>
    <row r="4" spans="1:2" x14ac:dyDescent="0.25">
      <c r="A4" t="s">
        <v>20</v>
      </c>
      <c r="B4">
        <v>20</v>
      </c>
    </row>
    <row r="5" spans="1:2" x14ac:dyDescent="0.25">
      <c r="A5" t="s">
        <v>21</v>
      </c>
      <c r="B5">
        <v>45</v>
      </c>
    </row>
    <row r="6" spans="1:2" x14ac:dyDescent="0.25">
      <c r="A6" t="s">
        <v>22</v>
      </c>
      <c r="B6">
        <v>60000</v>
      </c>
    </row>
    <row r="7" spans="1:2" x14ac:dyDescent="0.25">
      <c r="A7" t="s">
        <v>23</v>
      </c>
      <c r="B7" s="5">
        <v>7.0000000000000007E-2</v>
      </c>
    </row>
    <row r="9" spans="1:2" x14ac:dyDescent="0.25">
      <c r="A9" t="s">
        <v>24</v>
      </c>
    </row>
    <row r="10" spans="1:2" x14ac:dyDescent="0.25">
      <c r="A10" t="s">
        <v>25</v>
      </c>
      <c r="B10">
        <v>200000</v>
      </c>
    </row>
    <row r="11" spans="1:2" x14ac:dyDescent="0.25">
      <c r="A11" t="s">
        <v>26</v>
      </c>
      <c r="B11">
        <v>100000</v>
      </c>
    </row>
    <row r="12" spans="1:2" x14ac:dyDescent="0.25">
      <c r="A12" t="s">
        <v>27</v>
      </c>
      <c r="B12">
        <v>0</v>
      </c>
    </row>
    <row r="14" spans="1:2" x14ac:dyDescent="0.25">
      <c r="A14" t="s">
        <v>28</v>
      </c>
    </row>
    <row r="15" spans="1:2" x14ac:dyDescent="0.25">
      <c r="A15" t="s">
        <v>29</v>
      </c>
      <c r="B15">
        <v>35000</v>
      </c>
    </row>
    <row r="16" spans="1:2" x14ac:dyDescent="0.25">
      <c r="A16" t="s">
        <v>30</v>
      </c>
      <c r="B16">
        <v>15000</v>
      </c>
    </row>
    <row r="17" spans="1:2" x14ac:dyDescent="0.25">
      <c r="A17" t="s">
        <v>31</v>
      </c>
      <c r="B17" s="5">
        <v>0.1</v>
      </c>
    </row>
    <row r="18" spans="1:2" x14ac:dyDescent="0.25">
      <c r="A18" t="s">
        <v>32</v>
      </c>
      <c r="B18" s="5">
        <v>0.05</v>
      </c>
    </row>
    <row r="20" spans="1:2" x14ac:dyDescent="0.25">
      <c r="A20" t="s">
        <v>33</v>
      </c>
    </row>
    <row r="21" spans="1:2" ht="30" x14ac:dyDescent="0.25">
      <c r="A21" s="4" t="s">
        <v>34</v>
      </c>
      <c r="B21" s="2">
        <v>600000</v>
      </c>
    </row>
    <row r="22" spans="1:2" x14ac:dyDescent="0.25">
      <c r="A22" t="s">
        <v>114</v>
      </c>
      <c r="B22" s="5">
        <v>0.04</v>
      </c>
    </row>
    <row r="24" spans="1:2" x14ac:dyDescent="0.25">
      <c r="A24" t="s">
        <v>115</v>
      </c>
    </row>
    <row r="25" spans="1:2" ht="99" customHeight="1" x14ac:dyDescent="0.25">
      <c r="A25" s="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2" sqref="D2"/>
    </sheetView>
  </sheetViews>
  <sheetFormatPr defaultRowHeight="15" x14ac:dyDescent="0.25"/>
  <cols>
    <col min="1" max="1" width="10.28515625" customWidth="1"/>
    <col min="2" max="2" width="20.85546875" customWidth="1"/>
    <col min="3" max="3" width="18.140625" customWidth="1"/>
    <col min="4" max="4" width="13.28515625" customWidth="1"/>
    <col min="5" max="5" width="11.28515625" customWidth="1"/>
  </cols>
  <sheetData>
    <row r="1" spans="1:5" x14ac:dyDescent="0.25">
      <c r="A1" s="7" t="s">
        <v>35</v>
      </c>
      <c r="B1" s="11" t="s">
        <v>36</v>
      </c>
      <c r="C1" s="11" t="s">
        <v>37</v>
      </c>
      <c r="D1" s="11" t="s">
        <v>38</v>
      </c>
      <c r="E1" s="12" t="s">
        <v>39</v>
      </c>
    </row>
    <row r="2" spans="1:5" x14ac:dyDescent="0.25">
      <c r="A2" s="9">
        <v>46023</v>
      </c>
      <c r="B2" s="8" t="s">
        <v>40</v>
      </c>
      <c r="C2" t="s">
        <v>49</v>
      </c>
      <c r="D2" s="8" t="s">
        <v>57</v>
      </c>
      <c r="E2" s="10">
        <v>60000</v>
      </c>
    </row>
    <row r="3" spans="1:5" x14ac:dyDescent="0.25">
      <c r="A3" s="9">
        <v>46024</v>
      </c>
      <c r="B3" s="8" t="s">
        <v>41</v>
      </c>
      <c r="C3" t="s">
        <v>50</v>
      </c>
      <c r="D3" s="8" t="s">
        <v>58</v>
      </c>
      <c r="E3" s="10">
        <v>15000</v>
      </c>
    </row>
    <row r="4" spans="1:5" x14ac:dyDescent="0.25">
      <c r="A4" s="9">
        <v>46026</v>
      </c>
      <c r="B4" s="8" t="s">
        <v>42</v>
      </c>
      <c r="C4" s="8" t="s">
        <v>51</v>
      </c>
      <c r="D4" s="8" t="s">
        <v>58</v>
      </c>
      <c r="E4" s="10">
        <v>4500</v>
      </c>
    </row>
    <row r="5" spans="1:5" x14ac:dyDescent="0.25">
      <c r="A5" s="9">
        <v>46029</v>
      </c>
      <c r="B5" s="8" t="s">
        <v>43</v>
      </c>
      <c r="C5" s="8" t="s">
        <v>52</v>
      </c>
      <c r="D5" s="8" t="s">
        <v>58</v>
      </c>
      <c r="E5" s="10">
        <v>1500</v>
      </c>
    </row>
    <row r="6" spans="1:5" x14ac:dyDescent="0.25">
      <c r="A6" s="9">
        <v>46032</v>
      </c>
      <c r="B6" s="8" t="s">
        <v>44</v>
      </c>
      <c r="C6" s="8" t="s">
        <v>53</v>
      </c>
      <c r="D6" s="8" t="s">
        <v>53</v>
      </c>
      <c r="E6" s="10">
        <v>15000</v>
      </c>
    </row>
    <row r="7" spans="1:5" x14ac:dyDescent="0.25">
      <c r="A7" s="9">
        <v>46037</v>
      </c>
      <c r="B7" s="8" t="s">
        <v>45</v>
      </c>
      <c r="C7" s="8" t="s">
        <v>54</v>
      </c>
      <c r="D7" s="8" t="s">
        <v>58</v>
      </c>
      <c r="E7" s="10">
        <v>1800</v>
      </c>
    </row>
    <row r="8" spans="1:5" x14ac:dyDescent="0.25">
      <c r="A8" s="9">
        <v>46040</v>
      </c>
      <c r="B8" s="8" t="s">
        <v>46</v>
      </c>
      <c r="C8" s="8" t="s">
        <v>55</v>
      </c>
      <c r="D8" s="8" t="s">
        <v>58</v>
      </c>
      <c r="E8" s="10">
        <v>2000</v>
      </c>
    </row>
    <row r="9" spans="1:5" x14ac:dyDescent="0.25">
      <c r="A9" s="9">
        <v>46044</v>
      </c>
      <c r="B9" s="8" t="s">
        <v>47</v>
      </c>
      <c r="C9" s="8" t="s">
        <v>56</v>
      </c>
      <c r="D9" s="8" t="s">
        <v>58</v>
      </c>
      <c r="E9" s="10">
        <v>2500</v>
      </c>
    </row>
    <row r="10" spans="1:5" x14ac:dyDescent="0.25">
      <c r="A10" s="13">
        <v>46050</v>
      </c>
      <c r="B10" s="14" t="s">
        <v>48</v>
      </c>
      <c r="C10" s="14" t="s">
        <v>55</v>
      </c>
      <c r="D10" s="14" t="s">
        <v>58</v>
      </c>
      <c r="E10" s="6">
        <v>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7" sqref="B7"/>
    </sheetView>
  </sheetViews>
  <sheetFormatPr defaultRowHeight="15" x14ac:dyDescent="0.25"/>
  <cols>
    <col min="1" max="1" width="30.140625" customWidth="1"/>
  </cols>
  <sheetData>
    <row r="1" spans="1:2" ht="30" x14ac:dyDescent="0.25">
      <c r="A1" s="4" t="s">
        <v>59</v>
      </c>
    </row>
    <row r="3" spans="1:2" x14ac:dyDescent="0.25">
      <c r="A3" t="s">
        <v>60</v>
      </c>
      <c r="B3" t="s">
        <v>39</v>
      </c>
    </row>
    <row r="4" spans="1:2" x14ac:dyDescent="0.25">
      <c r="A4" t="s">
        <v>61</v>
      </c>
      <c r="B4">
        <f>SUMIF(Transactions!D2:D10,"INCOME",Transactions!E2:E10)</f>
        <v>60000</v>
      </c>
    </row>
    <row r="5" spans="1:2" x14ac:dyDescent="0.25">
      <c r="A5" t="s">
        <v>62</v>
      </c>
      <c r="B5">
        <f>SUMIF(Transactions!D2:D10,"EXPENSE",Transactions!E2:E10)</f>
        <v>27800</v>
      </c>
    </row>
    <row r="6" spans="1:2" x14ac:dyDescent="0.25">
      <c r="A6" t="s">
        <v>63</v>
      </c>
      <c r="B6">
        <f>SUMIF(Transactions!D2:D10,"INVESTMENT",Transactions!E2:E10)</f>
        <v>15000</v>
      </c>
    </row>
    <row r="7" spans="1:2" x14ac:dyDescent="0.25">
      <c r="A7" t="s">
        <v>65</v>
      </c>
      <c r="B7">
        <f>B4-B5</f>
        <v>32200</v>
      </c>
    </row>
    <row r="8" spans="1:2" x14ac:dyDescent="0.25">
      <c r="A8" t="s">
        <v>64</v>
      </c>
      <c r="B8" s="15">
        <f>B7/B4</f>
        <v>0.53666666666666663</v>
      </c>
    </row>
    <row r="10" spans="1:2" x14ac:dyDescent="0.25">
      <c r="A10" t="s">
        <v>66</v>
      </c>
    </row>
    <row r="11" spans="1:2" x14ac:dyDescent="0.25">
      <c r="A11" t="s">
        <v>67</v>
      </c>
      <c r="B11">
        <v>32200</v>
      </c>
    </row>
    <row r="12" spans="1:2" x14ac:dyDescent="0.25">
      <c r="A12" t="s">
        <v>68</v>
      </c>
      <c r="B12" s="16">
        <f>B6/B4</f>
        <v>0.25</v>
      </c>
    </row>
    <row r="13" spans="1:2" x14ac:dyDescent="0.25">
      <c r="A13" t="s">
        <v>69</v>
      </c>
      <c r="B13" s="15">
        <f>B5/B4</f>
        <v>0.46333333333333332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3" sqref="B13"/>
    </sheetView>
  </sheetViews>
  <sheetFormatPr defaultRowHeight="15" x14ac:dyDescent="0.25"/>
  <cols>
    <col min="1" max="1" width="26" customWidth="1"/>
  </cols>
  <sheetData>
    <row r="1" spans="1:2" x14ac:dyDescent="0.25">
      <c r="A1" t="s">
        <v>70</v>
      </c>
    </row>
    <row r="3" spans="1:2" x14ac:dyDescent="0.25">
      <c r="A3" t="s">
        <v>71</v>
      </c>
      <c r="B3" t="s">
        <v>79</v>
      </c>
    </row>
    <row r="4" spans="1:2" x14ac:dyDescent="0.25">
      <c r="A4" t="s">
        <v>72</v>
      </c>
      <c r="B4">
        <f>Inputs!B10</f>
        <v>200000</v>
      </c>
    </row>
    <row r="5" spans="1:2" x14ac:dyDescent="0.25">
      <c r="A5" t="s">
        <v>73</v>
      </c>
      <c r="B5">
        <f>Inputs!B11</f>
        <v>100000</v>
      </c>
    </row>
    <row r="6" spans="1:2" x14ac:dyDescent="0.25">
      <c r="A6" t="s">
        <v>74</v>
      </c>
      <c r="B6">
        <f>B4+B5</f>
        <v>300000</v>
      </c>
    </row>
    <row r="8" spans="1:2" x14ac:dyDescent="0.25">
      <c r="A8" t="s">
        <v>75</v>
      </c>
    </row>
    <row r="9" spans="1:2" x14ac:dyDescent="0.25">
      <c r="A9" t="s">
        <v>76</v>
      </c>
      <c r="B9">
        <f>Inputs!B12</f>
        <v>0</v>
      </c>
    </row>
    <row r="10" spans="1:2" x14ac:dyDescent="0.25">
      <c r="A10" t="s">
        <v>77</v>
      </c>
      <c r="B10">
        <f>B9</f>
        <v>0</v>
      </c>
    </row>
    <row r="12" spans="1:2" x14ac:dyDescent="0.25">
      <c r="A12" t="s">
        <v>78</v>
      </c>
      <c r="B12">
        <f>B6-B10</f>
        <v>300000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opLeftCell="A37" zoomScaleNormal="100" workbookViewId="0">
      <selection activeCell="D56" sqref="D56"/>
    </sheetView>
  </sheetViews>
  <sheetFormatPr defaultRowHeight="15" x14ac:dyDescent="0.25"/>
  <cols>
    <col min="1" max="1" width="36.42578125" customWidth="1"/>
    <col min="2" max="2" width="10.140625" customWidth="1"/>
    <col min="3" max="3" width="21.42578125" customWidth="1"/>
    <col min="4" max="4" width="28.5703125" customWidth="1"/>
  </cols>
  <sheetData>
    <row r="1" spans="1:4" x14ac:dyDescent="0.25">
      <c r="A1" t="s">
        <v>80</v>
      </c>
    </row>
    <row r="3" spans="1:4" x14ac:dyDescent="0.25">
      <c r="A3" t="s">
        <v>81</v>
      </c>
      <c r="B3" t="s">
        <v>82</v>
      </c>
    </row>
    <row r="4" spans="1:4" x14ac:dyDescent="0.25">
      <c r="A4" t="s">
        <v>26</v>
      </c>
      <c r="B4">
        <f>Inputs!B11</f>
        <v>100000</v>
      </c>
    </row>
    <row r="5" spans="1:4" x14ac:dyDescent="0.25">
      <c r="A5" s="3" t="s">
        <v>30</v>
      </c>
      <c r="B5">
        <f>Inputs!B16</f>
        <v>15000</v>
      </c>
    </row>
    <row r="6" spans="1:4" x14ac:dyDescent="0.25">
      <c r="A6" t="s">
        <v>83</v>
      </c>
      <c r="B6" s="5">
        <f>Inputs!B17</f>
        <v>0.1</v>
      </c>
    </row>
    <row r="7" spans="1:4" x14ac:dyDescent="0.25">
      <c r="A7" t="s">
        <v>20</v>
      </c>
      <c r="B7">
        <f>Inputs!B4</f>
        <v>20</v>
      </c>
    </row>
    <row r="8" spans="1:4" x14ac:dyDescent="0.25">
      <c r="A8" t="s">
        <v>21</v>
      </c>
      <c r="B8">
        <f>Inputs!B5</f>
        <v>45</v>
      </c>
    </row>
    <row r="9" spans="1:4" x14ac:dyDescent="0.25">
      <c r="A9" t="s">
        <v>84</v>
      </c>
      <c r="B9">
        <f>B8-B7</f>
        <v>25</v>
      </c>
    </row>
    <row r="12" spans="1:4" x14ac:dyDescent="0.25">
      <c r="A12" t="s">
        <v>85</v>
      </c>
      <c r="B12" t="s">
        <v>86</v>
      </c>
      <c r="C12" t="s">
        <v>87</v>
      </c>
      <c r="D12" t="s">
        <v>88</v>
      </c>
    </row>
    <row r="13" spans="1:4" x14ac:dyDescent="0.25">
      <c r="A13">
        <v>0</v>
      </c>
      <c r="B13">
        <v>20</v>
      </c>
      <c r="D13">
        <v>100000</v>
      </c>
    </row>
    <row r="14" spans="1:4" x14ac:dyDescent="0.25">
      <c r="A14">
        <f>A13+1</f>
        <v>1</v>
      </c>
      <c r="B14">
        <f>B13+1</f>
        <v>21</v>
      </c>
      <c r="C14">
        <f>$B$5*12</f>
        <v>180000</v>
      </c>
      <c r="D14">
        <f>D13*(1+$B$6)+C14</f>
        <v>290000</v>
      </c>
    </row>
    <row r="15" spans="1:4" x14ac:dyDescent="0.25">
      <c r="A15">
        <f t="shared" ref="A15:A38" si="0">A14+1</f>
        <v>2</v>
      </c>
      <c r="B15">
        <f t="shared" ref="B15:B38" si="1">B14+1</f>
        <v>22</v>
      </c>
      <c r="C15">
        <f t="shared" ref="C15:C38" si="2">$B$5*12</f>
        <v>180000</v>
      </c>
      <c r="D15">
        <f t="shared" ref="D15:D38" si="3">D14*(1+$B$6)+C15</f>
        <v>499000</v>
      </c>
    </row>
    <row r="16" spans="1:4" x14ac:dyDescent="0.25">
      <c r="A16">
        <f t="shared" si="0"/>
        <v>3</v>
      </c>
      <c r="B16">
        <f t="shared" si="1"/>
        <v>23</v>
      </c>
      <c r="C16">
        <f t="shared" si="2"/>
        <v>180000</v>
      </c>
      <c r="D16">
        <f t="shared" si="3"/>
        <v>728900</v>
      </c>
    </row>
    <row r="17" spans="1:4" x14ac:dyDescent="0.25">
      <c r="A17">
        <f t="shared" si="0"/>
        <v>4</v>
      </c>
      <c r="B17">
        <f t="shared" si="1"/>
        <v>24</v>
      </c>
      <c r="C17">
        <f t="shared" si="2"/>
        <v>180000</v>
      </c>
      <c r="D17">
        <f t="shared" si="3"/>
        <v>981790.00000000012</v>
      </c>
    </row>
    <row r="18" spans="1:4" x14ac:dyDescent="0.25">
      <c r="A18">
        <f t="shared" si="0"/>
        <v>5</v>
      </c>
      <c r="B18">
        <f t="shared" si="1"/>
        <v>25</v>
      </c>
      <c r="C18">
        <f t="shared" si="2"/>
        <v>180000</v>
      </c>
      <c r="D18">
        <f t="shared" si="3"/>
        <v>1259969.0000000002</v>
      </c>
    </row>
    <row r="19" spans="1:4" x14ac:dyDescent="0.25">
      <c r="A19">
        <f t="shared" si="0"/>
        <v>6</v>
      </c>
      <c r="B19">
        <f t="shared" si="1"/>
        <v>26</v>
      </c>
      <c r="C19">
        <f t="shared" si="2"/>
        <v>180000</v>
      </c>
      <c r="D19">
        <f t="shared" si="3"/>
        <v>1565965.9000000004</v>
      </c>
    </row>
    <row r="20" spans="1:4" x14ac:dyDescent="0.25">
      <c r="A20">
        <f t="shared" si="0"/>
        <v>7</v>
      </c>
      <c r="B20">
        <f t="shared" si="1"/>
        <v>27</v>
      </c>
      <c r="C20">
        <f t="shared" si="2"/>
        <v>180000</v>
      </c>
      <c r="D20">
        <f t="shared" si="3"/>
        <v>1902562.4900000005</v>
      </c>
    </row>
    <row r="21" spans="1:4" x14ac:dyDescent="0.25">
      <c r="A21">
        <f t="shared" si="0"/>
        <v>8</v>
      </c>
      <c r="B21">
        <f t="shared" si="1"/>
        <v>28</v>
      </c>
      <c r="C21">
        <f t="shared" si="2"/>
        <v>180000</v>
      </c>
      <c r="D21">
        <f t="shared" si="3"/>
        <v>2272818.739000001</v>
      </c>
    </row>
    <row r="22" spans="1:4" x14ac:dyDescent="0.25">
      <c r="A22">
        <f t="shared" si="0"/>
        <v>9</v>
      </c>
      <c r="B22">
        <f t="shared" si="1"/>
        <v>29</v>
      </c>
      <c r="C22">
        <f t="shared" si="2"/>
        <v>180000</v>
      </c>
      <c r="D22">
        <f t="shared" si="3"/>
        <v>2680100.6129000015</v>
      </c>
    </row>
    <row r="23" spans="1:4" x14ac:dyDescent="0.25">
      <c r="A23">
        <f t="shared" si="0"/>
        <v>10</v>
      </c>
      <c r="B23">
        <f t="shared" si="1"/>
        <v>30</v>
      </c>
      <c r="C23">
        <f t="shared" si="2"/>
        <v>180000</v>
      </c>
      <c r="D23">
        <f t="shared" si="3"/>
        <v>3128110.674190002</v>
      </c>
    </row>
    <row r="24" spans="1:4" x14ac:dyDescent="0.25">
      <c r="A24">
        <f t="shared" si="0"/>
        <v>11</v>
      </c>
      <c r="B24">
        <f t="shared" si="1"/>
        <v>31</v>
      </c>
      <c r="C24">
        <f t="shared" si="2"/>
        <v>180000</v>
      </c>
      <c r="D24">
        <f t="shared" si="3"/>
        <v>3620921.7416090025</v>
      </c>
    </row>
    <row r="25" spans="1:4" x14ac:dyDescent="0.25">
      <c r="A25">
        <f t="shared" si="0"/>
        <v>12</v>
      </c>
      <c r="B25">
        <f t="shared" si="1"/>
        <v>32</v>
      </c>
      <c r="C25">
        <f t="shared" si="2"/>
        <v>180000</v>
      </c>
      <c r="D25">
        <f t="shared" si="3"/>
        <v>4163013.915769903</v>
      </c>
    </row>
    <row r="26" spans="1:4" x14ac:dyDescent="0.25">
      <c r="A26">
        <f t="shared" si="0"/>
        <v>13</v>
      </c>
      <c r="B26">
        <f t="shared" si="1"/>
        <v>33</v>
      </c>
      <c r="C26">
        <f t="shared" si="2"/>
        <v>180000</v>
      </c>
      <c r="D26">
        <f t="shared" si="3"/>
        <v>4759315.3073468935</v>
      </c>
    </row>
    <row r="27" spans="1:4" x14ac:dyDescent="0.25">
      <c r="A27">
        <f t="shared" si="0"/>
        <v>14</v>
      </c>
      <c r="B27">
        <f t="shared" si="1"/>
        <v>34</v>
      </c>
      <c r="C27">
        <f t="shared" si="2"/>
        <v>180000</v>
      </c>
      <c r="D27">
        <f t="shared" si="3"/>
        <v>5415246.8380815834</v>
      </c>
    </row>
    <row r="28" spans="1:4" x14ac:dyDescent="0.25">
      <c r="A28">
        <f t="shared" si="0"/>
        <v>15</v>
      </c>
      <c r="B28">
        <f t="shared" si="1"/>
        <v>35</v>
      </c>
      <c r="C28">
        <f t="shared" si="2"/>
        <v>180000</v>
      </c>
      <c r="D28">
        <f t="shared" si="3"/>
        <v>6136771.5218897425</v>
      </c>
    </row>
    <row r="29" spans="1:4" x14ac:dyDescent="0.25">
      <c r="A29">
        <f t="shared" si="0"/>
        <v>16</v>
      </c>
      <c r="B29">
        <f t="shared" si="1"/>
        <v>36</v>
      </c>
      <c r="C29">
        <f t="shared" si="2"/>
        <v>180000</v>
      </c>
      <c r="D29">
        <f t="shared" si="3"/>
        <v>6930448.6740787169</v>
      </c>
    </row>
    <row r="30" spans="1:4" x14ac:dyDescent="0.25">
      <c r="A30">
        <f t="shared" si="0"/>
        <v>17</v>
      </c>
      <c r="B30">
        <f t="shared" si="1"/>
        <v>37</v>
      </c>
      <c r="C30">
        <f t="shared" si="2"/>
        <v>180000</v>
      </c>
      <c r="D30">
        <f t="shared" si="3"/>
        <v>7803493.5414865892</v>
      </c>
    </row>
    <row r="31" spans="1:4" x14ac:dyDescent="0.25">
      <c r="A31">
        <f t="shared" si="0"/>
        <v>18</v>
      </c>
      <c r="B31">
        <f t="shared" si="1"/>
        <v>38</v>
      </c>
      <c r="C31">
        <f t="shared" si="2"/>
        <v>180000</v>
      </c>
      <c r="D31">
        <f t="shared" si="3"/>
        <v>8763842.8956352491</v>
      </c>
    </row>
    <row r="32" spans="1:4" x14ac:dyDescent="0.25">
      <c r="A32">
        <f t="shared" si="0"/>
        <v>19</v>
      </c>
      <c r="B32">
        <f t="shared" si="1"/>
        <v>39</v>
      </c>
      <c r="C32">
        <f t="shared" si="2"/>
        <v>180000</v>
      </c>
      <c r="D32">
        <f t="shared" si="3"/>
        <v>9820227.1851987746</v>
      </c>
    </row>
    <row r="33" spans="1:4" x14ac:dyDescent="0.25">
      <c r="A33">
        <f t="shared" si="0"/>
        <v>20</v>
      </c>
      <c r="B33">
        <f t="shared" si="1"/>
        <v>40</v>
      </c>
      <c r="C33">
        <f t="shared" si="2"/>
        <v>180000</v>
      </c>
      <c r="D33">
        <f t="shared" si="3"/>
        <v>10982249.903718652</v>
      </c>
    </row>
    <row r="34" spans="1:4" x14ac:dyDescent="0.25">
      <c r="A34">
        <f t="shared" si="0"/>
        <v>21</v>
      </c>
      <c r="B34">
        <f t="shared" si="1"/>
        <v>41</v>
      </c>
      <c r="C34">
        <f t="shared" si="2"/>
        <v>180000</v>
      </c>
      <c r="D34">
        <f t="shared" si="3"/>
        <v>12260474.894090518</v>
      </c>
    </row>
    <row r="35" spans="1:4" x14ac:dyDescent="0.25">
      <c r="A35">
        <f t="shared" si="0"/>
        <v>22</v>
      </c>
      <c r="B35">
        <f t="shared" si="1"/>
        <v>42</v>
      </c>
      <c r="C35">
        <f t="shared" si="2"/>
        <v>180000</v>
      </c>
      <c r="D35">
        <f t="shared" si="3"/>
        <v>13666522.383499572</v>
      </c>
    </row>
    <row r="36" spans="1:4" x14ac:dyDescent="0.25">
      <c r="A36">
        <f t="shared" si="0"/>
        <v>23</v>
      </c>
      <c r="B36">
        <f t="shared" si="1"/>
        <v>43</v>
      </c>
      <c r="C36">
        <f t="shared" si="2"/>
        <v>180000</v>
      </c>
      <c r="D36">
        <f t="shared" si="3"/>
        <v>15213174.621849531</v>
      </c>
    </row>
    <row r="37" spans="1:4" x14ac:dyDescent="0.25">
      <c r="A37">
        <f t="shared" si="0"/>
        <v>24</v>
      </c>
      <c r="B37">
        <f t="shared" si="1"/>
        <v>44</v>
      </c>
      <c r="C37">
        <f t="shared" si="2"/>
        <v>180000</v>
      </c>
      <c r="D37">
        <f t="shared" si="3"/>
        <v>16914492.084034488</v>
      </c>
    </row>
    <row r="38" spans="1:4" x14ac:dyDescent="0.25">
      <c r="A38">
        <f t="shared" si="0"/>
        <v>25</v>
      </c>
      <c r="B38">
        <f t="shared" si="1"/>
        <v>45</v>
      </c>
      <c r="C38">
        <f t="shared" si="2"/>
        <v>180000</v>
      </c>
      <c r="D38">
        <f t="shared" si="3"/>
        <v>18785941.292437937</v>
      </c>
    </row>
    <row r="41" spans="1:4" ht="30" x14ac:dyDescent="0.25">
      <c r="A41" t="s">
        <v>89</v>
      </c>
      <c r="B41" s="4" t="s">
        <v>90</v>
      </c>
      <c r="C41" s="4" t="s">
        <v>91</v>
      </c>
    </row>
    <row r="44" spans="1:4" x14ac:dyDescent="0.25">
      <c r="A44" t="s">
        <v>92</v>
      </c>
      <c r="B44" s="5">
        <v>0.08</v>
      </c>
      <c r="C44" s="17">
        <f>FV(B44,$B$9,-$B$5*12,-$B$4)</f>
        <v>13843916.711115414</v>
      </c>
    </row>
    <row r="45" spans="1:4" x14ac:dyDescent="0.25">
      <c r="A45" t="s">
        <v>93</v>
      </c>
      <c r="B45" s="5">
        <v>0.1</v>
      </c>
      <c r="C45" s="18">
        <f>FV(B45,$B$9,-$B$5*12,-$B$4)</f>
        <v>18785941.292437941</v>
      </c>
    </row>
    <row r="46" spans="1:4" x14ac:dyDescent="0.25">
      <c r="A46" t="s">
        <v>94</v>
      </c>
      <c r="B46" s="5">
        <v>0.12</v>
      </c>
      <c r="C46" s="18">
        <f>FV(B46,$B$9,-$B$5*12,-$B$4)</f>
        <v>25700103.050628342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zoomScale="70" zoomScaleNormal="70" workbookViewId="0">
      <selection activeCell="C6" sqref="C6"/>
    </sheetView>
  </sheetViews>
  <sheetFormatPr defaultRowHeight="15" x14ac:dyDescent="0.25"/>
  <cols>
    <col min="1" max="1" width="36.28515625" customWidth="1"/>
    <col min="2" max="2" width="24.7109375" customWidth="1"/>
  </cols>
  <sheetData>
    <row r="1" spans="1:4" ht="30" x14ac:dyDescent="0.25">
      <c r="A1" s="21" t="s">
        <v>95</v>
      </c>
    </row>
    <row r="3" spans="1:4" x14ac:dyDescent="0.25">
      <c r="A3" s="22" t="s">
        <v>96</v>
      </c>
    </row>
    <row r="4" spans="1:4" x14ac:dyDescent="0.25">
      <c r="A4" t="s">
        <v>97</v>
      </c>
      <c r="B4" s="19">
        <f>Inputs!B6</f>
        <v>60000</v>
      </c>
    </row>
    <row r="5" spans="1:4" x14ac:dyDescent="0.25">
      <c r="A5" t="s">
        <v>108</v>
      </c>
      <c r="B5" s="19">
        <f>'Monthly Analysis'!B5</f>
        <v>27800</v>
      </c>
    </row>
    <row r="6" spans="1:4" x14ac:dyDescent="0.25">
      <c r="A6" t="s">
        <v>98</v>
      </c>
      <c r="B6" s="19">
        <f>'Monthly Analysis'!B7</f>
        <v>32200</v>
      </c>
      <c r="C6" t="s">
        <v>79</v>
      </c>
      <c r="D6" s="19"/>
    </row>
    <row r="7" spans="1:4" x14ac:dyDescent="0.25">
      <c r="A7" t="s">
        <v>64</v>
      </c>
      <c r="B7" s="5">
        <f>'Monthly Analysis'!B8</f>
        <v>0.53666666666666663</v>
      </c>
    </row>
    <row r="8" spans="1:4" x14ac:dyDescent="0.25">
      <c r="A8" t="s">
        <v>99</v>
      </c>
      <c r="B8" s="19">
        <f>'Net Worth'!B12</f>
        <v>300000</v>
      </c>
    </row>
    <row r="10" spans="1:4" x14ac:dyDescent="0.25">
      <c r="A10" s="22" t="s">
        <v>100</v>
      </c>
    </row>
    <row r="11" spans="1:4" x14ac:dyDescent="0.25">
      <c r="A11" t="s">
        <v>101</v>
      </c>
      <c r="B11">
        <f>Inputs!B5</f>
        <v>45</v>
      </c>
    </row>
    <row r="12" spans="1:4" x14ac:dyDescent="0.25">
      <c r="A12" t="s">
        <v>102</v>
      </c>
      <c r="B12">
        <f>'Investment Projection'!B9</f>
        <v>25</v>
      </c>
    </row>
    <row r="13" spans="1:4" x14ac:dyDescent="0.25">
      <c r="A13" t="s">
        <v>103</v>
      </c>
      <c r="B13" s="19">
        <f>'Investment Projection'!C45</f>
        <v>18785941.292437941</v>
      </c>
    </row>
    <row r="14" spans="1:4" x14ac:dyDescent="0.25">
      <c r="A14" s="20" t="s">
        <v>104</v>
      </c>
    </row>
    <row r="15" spans="1:4" x14ac:dyDescent="0.25">
      <c r="A15" t="s">
        <v>105</v>
      </c>
      <c r="B15" s="19">
        <f>'Investment Projection'!C44</f>
        <v>13843916.711115414</v>
      </c>
    </row>
    <row r="16" spans="1:4" x14ac:dyDescent="0.25">
      <c r="A16" t="s">
        <v>106</v>
      </c>
      <c r="B16" s="19">
        <f>'Investment Projection'!C45</f>
        <v>18785941.292437941</v>
      </c>
    </row>
    <row r="17" spans="1:2" x14ac:dyDescent="0.25">
      <c r="A17" t="s">
        <v>107</v>
      </c>
      <c r="B17" s="19">
        <f>'Investment Projection'!C46</f>
        <v>25700103.050628342</v>
      </c>
    </row>
    <row r="20" spans="1:2" x14ac:dyDescent="0.25">
      <c r="A20" s="22" t="s">
        <v>109</v>
      </c>
    </row>
    <row r="21" spans="1:2" x14ac:dyDescent="0.25">
      <c r="A21" t="s">
        <v>110</v>
      </c>
      <c r="B21" s="19">
        <f>Inputs!B21</f>
        <v>600000</v>
      </c>
    </row>
    <row r="22" spans="1:2" x14ac:dyDescent="0.25">
      <c r="A22" t="s">
        <v>117</v>
      </c>
      <c r="B22" s="5">
        <f>Inputs!B22</f>
        <v>0.04</v>
      </c>
    </row>
    <row r="23" spans="1:2" x14ac:dyDescent="0.25">
      <c r="A23" t="s">
        <v>111</v>
      </c>
      <c r="B23" s="19">
        <f>B21/B22</f>
        <v>15000000</v>
      </c>
    </row>
    <row r="24" spans="1:2" x14ac:dyDescent="0.25">
      <c r="A24" t="s">
        <v>112</v>
      </c>
      <c r="B24" s="19">
        <f>B13</f>
        <v>18785941.292437941</v>
      </c>
    </row>
    <row r="25" spans="1:2" ht="18.75" x14ac:dyDescent="0.3">
      <c r="A25" s="23" t="s">
        <v>113</v>
      </c>
      <c r="B25" s="24">
        <f>B24-B23</f>
        <v>3785941.2924379408</v>
      </c>
    </row>
    <row r="26" spans="1:2" ht="18.75" x14ac:dyDescent="0.3">
      <c r="A26" t="s">
        <v>118</v>
      </c>
      <c r="B26" s="25" t="str">
        <f>IF(B25&gt;=0,"ON TRACK","BELOW TARGET")</f>
        <v>ON TRACK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Inputs</vt:lpstr>
      <vt:lpstr>Transactions</vt:lpstr>
      <vt:lpstr>Monthly Analysis</vt:lpstr>
      <vt:lpstr>Net Worth</vt:lpstr>
      <vt:lpstr>Investment Projection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2026-09-15T13:28:45Z</dcterms:created>
  <dcterms:modified xsi:type="dcterms:W3CDTF">2026-09-16T07:27:38Z</dcterms:modified>
</cp:coreProperties>
</file>